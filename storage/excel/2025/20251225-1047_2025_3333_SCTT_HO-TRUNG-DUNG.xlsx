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fste\Desktop\"/>
    </mc:Choice>
  </mc:AlternateContent>
  <xr:revisionPtr revIDLastSave="0" documentId="13_ncr:1_{52AD92F1-FB7B-426C-94E8-4EAEA72124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</calcChain>
</file>

<file path=xl/sharedStrings.xml><?xml version="1.0" encoding="utf-8"?>
<sst xmlns="http://schemas.openxmlformats.org/spreadsheetml/2006/main" count="109" uniqueCount="74">
  <si>
    <t>DANH SÁCH TÁC PHẨM ÂM NHẠC SỬ DỤNG TRỰC TUYẾN TRÊN YOUTUBE</t>
  </si>
  <si>
    <t>ĐÍNH KÈM HỢP ĐỒNG SỐ 3333/2025/HĐQTGAN-PN/MR NGÀY 22/12/2025</t>
  </si>
  <si>
    <t>SỬ DỤNG TRÊN WEBSITE YOUTUBE HỒ TRUNG DŨNG</t>
  </si>
  <si>
    <t>https://www.youtube.com/channel/UCDEf8axPu3hAqaItgFNwueQ</t>
  </si>
  <si>
    <t>Tên đơn vị sử dụng tác phẩm âm nhạc: CÔNG TY CỔ PHẦN SỰ KIỆN GIẢI TRÍ HỒ</t>
  </si>
  <si>
    <t>Địa chỉ: 2K Trường Sa, phường 19, quận Bình Thạnh, Tp. HCM.</t>
  </si>
  <si>
    <t>Điện thoại: 0901480336</t>
  </si>
  <si>
    <t>Người đại diện: Hồ Trung Dũng</t>
  </si>
  <si>
    <t>Email: contact.hotrungdung@gmail.com</t>
  </si>
  <si>
    <t>STT</t>
  </si>
  <si>
    <t>ID Video</t>
  </si>
  <si>
    <t>Code</t>
  </si>
  <si>
    <t>Tên tác phẩm</t>
  </si>
  <si>
    <t>Tên tác giả</t>
  </si>
  <si>
    <t>Tên tác giả nhạc</t>
  </si>
  <si>
    <t>Tên tác giả lời</t>
  </si>
  <si>
    <t>Thời gian</t>
  </si>
  <si>
    <t>Thời lượng</t>
  </si>
  <si>
    <t>Ngày bắt đầu</t>
  </si>
  <si>
    <t>Thời hạn kết thúc</t>
  </si>
  <si>
    <t>Hình thức sử dụng</t>
  </si>
  <si>
    <t>Mức nhuận bút chưa thuế GTGT (VNĐ)</t>
  </si>
  <si>
    <t>Giai Điệu Tổ Quốc</t>
  </si>
  <si>
    <t>00:00:00 - 00:03:38</t>
  </si>
  <si>
    <t>00:03:38</t>
  </si>
  <si>
    <t>Video</t>
  </si>
  <si>
    <t>Cộng:</t>
  </si>
  <si>
    <t>Tiền thuế GTGT 8%:</t>
  </si>
  <si>
    <t>Tổng giá trị thanh toán bao gồm thuế GTGT:</t>
  </si>
  <si>
    <t>T.TÂM BVQTG ÂM NHẠC VIỆT NAM - CN PN</t>
  </si>
  <si>
    <t>Tp.Hồ Chí Minh, ngày ... tháng ... năm 2025</t>
  </si>
  <si>
    <t>PHÓ GIÁM ĐỐC</t>
  </si>
  <si>
    <t>ĐẠI DIỆN</t>
  </si>
  <si>
    <t>Hoàng Văn Bình</t>
  </si>
  <si>
    <t>Hồ Trung Dũng</t>
  </si>
  <si>
    <t>J4Rkwq7N4aI</t>
  </si>
  <si>
    <t>SiPJGfY2qdc</t>
  </si>
  <si>
    <t>Vết Chân Tròn Trên Cát</t>
  </si>
  <si>
    <t>MhKIChejqvc</t>
  </si>
  <si>
    <t>Mẹ Tôi</t>
  </si>
  <si>
    <t>aFNejdid42c</t>
  </si>
  <si>
    <t>Phiêu Bạt</t>
  </si>
  <si>
    <t>Q6ncgm4wvtg</t>
  </si>
  <si>
    <t>Ngẫu Hứng Sông Hồng</t>
  </si>
  <si>
    <t>5O4TkqyF_Tk</t>
  </si>
  <si>
    <t>Tóc Gió Thôi Bay</t>
  </si>
  <si>
    <t>k0OuCq-orkU</t>
  </si>
  <si>
    <t>Sao Em Nỡ Vội Lấy Chồng</t>
  </si>
  <si>
    <t>HBoA-lEFdwU</t>
  </si>
  <si>
    <t>Chị Tôi</t>
  </si>
  <si>
    <t>UnzVm6wIL3g</t>
  </si>
  <si>
    <t>Giấc Mơ Chapi</t>
  </si>
  <si>
    <t>GDIszPrsLVI</t>
  </si>
  <si>
    <t>Một Mình</t>
  </si>
  <si>
    <t>Trần Tiến</t>
  </si>
  <si>
    <t>00:04:41</t>
  </si>
  <si>
    <t>00:06:00</t>
  </si>
  <si>
    <t>00:06:33</t>
  </si>
  <si>
    <t>00:05:50</t>
  </si>
  <si>
    <t>00:04:34</t>
  </si>
  <si>
    <t>00:05:06</t>
  </si>
  <si>
    <t>00:02 - 05:38</t>
  </si>
  <si>
    <t>00:05:36</t>
  </si>
  <si>
    <t>03:05 - 08:27</t>
  </si>
  <si>
    <t>00:05:22</t>
  </si>
  <si>
    <t>00:00 - 06:05</t>
  </si>
  <si>
    <t>00:06:05</t>
  </si>
  <si>
    <t>00:00:00 - 00:04:41</t>
  </si>
  <si>
    <t>00:00:00 - 00:06:00</t>
  </si>
  <si>
    <t>00:00:00 - 00:06:33</t>
  </si>
  <si>
    <t>00:00:00 - 00:05:50</t>
  </si>
  <si>
    <t>00:00:00 - 00:04:34</t>
  </si>
  <si>
    <t>00:00:51 - 00:05:57</t>
  </si>
  <si>
    <t>(Bằng chữ: Sáu triệu bốn trăm tám mươi ngàn đồng./.)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</si>
</sst>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Verdana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i/>
      <sz val="13"/>
      <name val="Times New Roman"/>
      <family val="1"/>
    </font>
    <font>
      <sz val="13"/>
      <color theme="1"/>
      <name val="Aptos Narrow"/>
      <family val="2"/>
      <scheme val="minor"/>
    </font>
    <font>
      <u/>
      <sz val="13"/>
      <color rgb="FF0000FF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u/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2" fillId="0" borderId="0"/>
    <xf numFmtId="43" fontId="5" fillId="0" borderId="0"/>
    <xf numFmtId="0" fontId="1" fillId="0" borderId="0"/>
    <xf numFmtId="0" fontId="3" fillId="0" borderId="0"/>
    <xf numFmtId="0" fontId="7" fillId="0" borderId="0"/>
    <xf numFmtId="0" fontId="8" fillId="0" borderId="0"/>
    <xf numFmtId="0" fontId="6" fillId="0" borderId="0"/>
    <xf numFmtId="0" fontId="2" fillId="0" borderId="0"/>
    <xf numFmtId="0" fontId="3" fillId="0" borderId="0"/>
    <xf numFmtId="166" fontId="7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10" fillId="0" borderId="0"/>
    <xf numFmtId="43" fontId="9" fillId="0" borderId="0"/>
    <xf numFmtId="43" fontId="3" fillId="0" borderId="0"/>
    <xf numFmtId="0" fontId="2" fillId="0" borderId="0"/>
    <xf numFmtId="0" fontId="9" fillId="0" borderId="0"/>
    <xf numFmtId="0" fontId="3" fillId="0" borderId="0"/>
  </cellStyleXfs>
  <cellXfs count="53">
    <xf numFmtId="0" fontId="0" fillId="0" borderId="0" xfId="0"/>
    <xf numFmtId="1" fontId="11" fillId="0" borderId="0" xfId="9" applyNumberFormat="1" applyFont="1" applyAlignment="1">
      <alignment vertical="center"/>
    </xf>
    <xf numFmtId="0" fontId="11" fillId="0" borderId="0" xfId="9" applyFont="1" applyAlignment="1">
      <alignment horizontal="left" vertical="center"/>
    </xf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vertical="center"/>
    </xf>
    <xf numFmtId="14" fontId="11" fillId="0" borderId="0" xfId="9" applyNumberFormat="1" applyFont="1" applyAlignment="1">
      <alignment vertical="center"/>
    </xf>
    <xf numFmtId="1" fontId="12" fillId="0" borderId="0" xfId="9" applyNumberFormat="1" applyFont="1" applyAlignment="1">
      <alignment horizontal="left" vertical="center"/>
    </xf>
    <xf numFmtId="0" fontId="12" fillId="0" borderId="0" xfId="9" applyFont="1" applyAlignment="1">
      <alignment horizontal="left" vertical="center"/>
    </xf>
    <xf numFmtId="0" fontId="12" fillId="0" borderId="0" xfId="9" applyFont="1" applyAlignment="1">
      <alignment horizontal="center" vertical="center"/>
    </xf>
    <xf numFmtId="14" fontId="12" fillId="0" borderId="0" xfId="9" applyNumberFormat="1" applyFont="1" applyAlignment="1">
      <alignment horizontal="center" vertical="center"/>
    </xf>
    <xf numFmtId="14" fontId="11" fillId="0" borderId="0" xfId="9" applyNumberFormat="1" applyFont="1" applyAlignment="1">
      <alignment horizontal="center" vertical="center"/>
    </xf>
    <xf numFmtId="0" fontId="12" fillId="0" borderId="0" xfId="9" applyFont="1" applyAlignment="1">
      <alignment vertical="center"/>
    </xf>
    <xf numFmtId="0" fontId="12" fillId="0" borderId="0" xfId="19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9" fillId="0" borderId="0" xfId="22" applyAlignment="1">
      <alignment vertical="center"/>
    </xf>
    <xf numFmtId="0" fontId="12" fillId="0" borderId="0" xfId="19" applyNumberFormat="1" applyFont="1" applyAlignment="1">
      <alignment horizontal="left" vertical="center"/>
    </xf>
    <xf numFmtId="0" fontId="13" fillId="0" borderId="0" xfId="9" applyFont="1" applyAlignment="1">
      <alignment vertical="center"/>
    </xf>
    <xf numFmtId="14" fontId="12" fillId="0" borderId="0" xfId="9" applyNumberFormat="1" applyFont="1" applyAlignment="1">
      <alignment vertical="center"/>
    </xf>
    <xf numFmtId="0" fontId="11" fillId="0" borderId="0" xfId="9" applyFont="1" applyAlignment="1">
      <alignment vertical="center" wrapText="1"/>
    </xf>
    <xf numFmtId="14" fontId="13" fillId="0" borderId="0" xfId="28" applyNumberFormat="1" applyFont="1" applyAlignment="1">
      <alignment horizontal="center" vertical="center"/>
    </xf>
    <xf numFmtId="0" fontId="15" fillId="0" borderId="0" xfId="28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164" fontId="11" fillId="2" borderId="1" xfId="5" applyNumberFormat="1" applyFont="1" applyFill="1" applyBorder="1" applyAlignment="1">
      <alignment horizontal="center" vertical="center" wrapText="1"/>
    </xf>
    <xf numFmtId="0" fontId="17" fillId="0" borderId="0" xfId="2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2" applyFont="1" applyAlignment="1">
      <alignment vertical="center"/>
    </xf>
    <xf numFmtId="164" fontId="21" fillId="0" borderId="1" xfId="14" applyNumberFormat="1" applyFont="1" applyBorder="1" applyAlignment="1">
      <alignment horizontal="right" vertical="center"/>
    </xf>
    <xf numFmtId="164" fontId="20" fillId="0" borderId="1" xfId="14" applyNumberFormat="1" applyFont="1" applyBorder="1" applyAlignment="1">
      <alignment horizontal="right" vertical="center"/>
    </xf>
    <xf numFmtId="0" fontId="12" fillId="0" borderId="1" xfId="14" applyFont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11" fillId="0" borderId="0" xfId="9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8" applyFont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1" xfId="14" applyFont="1" applyBorder="1" applyAlignment="1">
      <alignment horizontal="right" vertical="center"/>
    </xf>
    <xf numFmtId="0" fontId="11" fillId="0" borderId="1" xfId="14" applyFont="1" applyBorder="1" applyAlignment="1">
      <alignment horizontal="right" vertical="center"/>
    </xf>
    <xf numFmtId="165" fontId="14" fillId="0" borderId="2" xfId="19" applyNumberFormat="1" applyFont="1" applyBorder="1" applyAlignment="1">
      <alignment horizontal="center" vertical="center"/>
    </xf>
    <xf numFmtId="0" fontId="0" fillId="0" borderId="2" xfId="0" applyBorder="1"/>
    <xf numFmtId="0" fontId="12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64" fontId="12" fillId="0" borderId="1" xfId="5" applyNumberFormat="1" applyFont="1" applyFill="1" applyBorder="1" applyAlignment="1">
      <alignment horizontal="right" vertical="center"/>
    </xf>
    <xf numFmtId="0" fontId="23" fillId="0" borderId="1" xfId="0" applyFont="1" applyFill="1" applyBorder="1" applyAlignment="1">
      <alignment vertical="center"/>
    </xf>
    <xf numFmtId="0" fontId="23" fillId="0" borderId="1" xfId="0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center" vertical="center"/>
    </xf>
    <xf numFmtId="0" fontId="22" fillId="0" borderId="1" xfId="24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</cellXfs>
  <cellStyles count="30">
    <cellStyle name="Comma" xfId="5" builtinId="3"/>
    <cellStyle name="Comma 2" xfId="11" xr:uid="{00000000-0005-0000-0000-00000B000000}"/>
    <cellStyle name="Comma 2 2" xfId="19" xr:uid="{00000000-0005-0000-0000-000013000000}"/>
    <cellStyle name="Comma 3" xfId="26" xr:uid="{00000000-0005-0000-0000-00001A000000}"/>
    <cellStyle name="Comma 4" xfId="25" xr:uid="{00000000-0005-0000-0000-000019000000}"/>
    <cellStyle name="Hyperlink" xfId="2" builtinId="8"/>
    <cellStyle name="Hyperlink 2" xfId="10" xr:uid="{00000000-0005-0000-0000-00000A000000}"/>
    <cellStyle name="Hyperlink 2 2" xfId="27" xr:uid="{00000000-0005-0000-0000-00001B000000}"/>
    <cellStyle name="Hyperlink 2 3" xfId="23" xr:uid="{00000000-0005-0000-0000-000017000000}"/>
    <cellStyle name="Hyperlink 3" xfId="16" xr:uid="{00000000-0005-0000-0000-000010000000}"/>
    <cellStyle name="Hyperlink 3 2" xfId="17" xr:uid="{00000000-0005-0000-0000-000011000000}"/>
    <cellStyle name="Hyperlink 4" xfId="7" xr:uid="{00000000-0005-0000-0000-000007000000}"/>
    <cellStyle name="Hyperlink 5" xfId="24" xr:uid="{00000000-0005-0000-0000-000018000000}"/>
    <cellStyle name="Normal" xfId="0" builtinId="0"/>
    <cellStyle name="Normal 2" xfId="9" xr:uid="{00000000-0005-0000-0000-000009000000}"/>
    <cellStyle name="Normal 2 2" xfId="13" xr:uid="{00000000-0005-0000-0000-00000D000000}"/>
    <cellStyle name="Normal 2 2 2" xfId="29" xr:uid="{00000000-0005-0000-0000-00001D000000}"/>
    <cellStyle name="Normal 2 2 3" xfId="28" xr:uid="{00000000-0005-0000-0000-00001C000000}"/>
    <cellStyle name="Normal 2 3" xfId="21" xr:uid="{00000000-0005-0000-0000-000015000000}"/>
    <cellStyle name="Normal 3" xfId="1" xr:uid="{00000000-0005-0000-0000-000001000000}"/>
    <cellStyle name="Normal 3 2" xfId="8" xr:uid="{00000000-0005-0000-0000-000008000000}"/>
    <cellStyle name="Normal 3 2 2" xfId="15" xr:uid="{00000000-0005-0000-0000-00000F000000}"/>
    <cellStyle name="Normal 3 3" xfId="12" xr:uid="{00000000-0005-0000-0000-00000C000000}"/>
    <cellStyle name="Normal 302" xfId="18" xr:uid="{00000000-0005-0000-0000-000012000000}"/>
    <cellStyle name="Normal 4" xfId="20" xr:uid="{00000000-0005-0000-0000-000014000000}"/>
    <cellStyle name="Normal 4 2" xfId="14" xr:uid="{00000000-0005-0000-0000-00000E000000}"/>
    <cellStyle name="Normal 5" xfId="6" xr:uid="{00000000-0005-0000-0000-000006000000}"/>
    <cellStyle name="Normal 5 3 2" xfId="4" xr:uid="{00000000-0005-0000-0000-000004000000}"/>
    <cellStyle name="Normal 5 4" xfId="3" xr:uid="{00000000-0005-0000-0000-000003000000}"/>
    <cellStyle name="Normal 6" xfId="22" xr:uid="{00000000-0005-0000-0000-000016000000}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Bản quyền nhạc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NỘI DUNG CHƯƠNG TRÌNH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A4" sqref="A4:M4"/>
    </sheetView>
  </sheetViews>
  <sheetFormatPr defaultRowHeight="15" x14ac:dyDescent="0.25"/>
  <cols>
    <col min="1" max="1" width="5.140625" style="14" customWidth="1"/>
    <col min="2" max="2" width="18" style="14" customWidth="1"/>
    <col min="3" max="3" width="11.5703125" style="14" bestFit="1" customWidth="1"/>
    <col min="4" max="4" width="18.85546875" style="14" customWidth="1"/>
    <col min="5" max="5" width="24" style="14" customWidth="1"/>
    <col min="6" max="7" width="16.5703125" style="14" customWidth="1"/>
    <col min="8" max="8" width="21.5703125" style="14" customWidth="1"/>
    <col min="9" max="9" width="13.140625" style="14" customWidth="1"/>
    <col min="10" max="10" width="19" style="14" customWidth="1"/>
    <col min="11" max="11" width="21" style="14" customWidth="1"/>
    <col min="12" max="12" width="17" style="14" customWidth="1"/>
    <col min="13" max="13" width="26.140625" style="14" customWidth="1"/>
    <col min="14" max="14" width="9.140625" style="14" customWidth="1"/>
    <col min="15" max="16384" width="9.140625" style="14"/>
  </cols>
  <sheetData>
    <row r="1" spans="1:16" ht="16.5" customHeight="1" x14ac:dyDescent="0.25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13"/>
      <c r="O1" s="13"/>
      <c r="P1" s="13"/>
    </row>
    <row r="2" spans="1:16" ht="16.5" customHeight="1" x14ac:dyDescent="0.25">
      <c r="A2" s="34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15"/>
      <c r="O2" s="15"/>
      <c r="P2" s="15"/>
    </row>
    <row r="3" spans="1:16" ht="16.5" customHeight="1" x14ac:dyDescent="0.25">
      <c r="A3" s="34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5"/>
      <c r="O3" s="15"/>
      <c r="P3" s="15"/>
    </row>
    <row r="4" spans="1:16" ht="16.5" customHeight="1" x14ac:dyDescent="0.25">
      <c r="A4" s="36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15"/>
      <c r="O4" s="15"/>
      <c r="P4" s="15"/>
    </row>
    <row r="5" spans="1:16" ht="16.5" customHeight="1" x14ac:dyDescent="0.25">
      <c r="A5" s="1" t="s">
        <v>4</v>
      </c>
      <c r="B5" s="1"/>
      <c r="C5" s="2"/>
      <c r="D5" s="3"/>
      <c r="E5" s="4"/>
      <c r="F5" s="4"/>
      <c r="G5" s="4"/>
      <c r="H5" s="4"/>
      <c r="I5" s="4"/>
      <c r="J5" s="5"/>
      <c r="K5" s="3"/>
      <c r="L5" s="3"/>
      <c r="M5" s="3"/>
      <c r="N5" s="15"/>
      <c r="O5" s="15"/>
      <c r="P5" s="15"/>
    </row>
    <row r="6" spans="1:16" ht="16.5" customHeight="1" x14ac:dyDescent="0.25">
      <c r="A6" s="6" t="s">
        <v>5</v>
      </c>
      <c r="B6" s="6"/>
      <c r="C6" s="7"/>
      <c r="D6" s="8"/>
      <c r="E6" s="8"/>
      <c r="F6" s="8"/>
      <c r="G6" s="8"/>
      <c r="H6" s="8"/>
      <c r="I6" s="8"/>
      <c r="J6" s="9"/>
      <c r="K6" s="8"/>
      <c r="L6" s="8"/>
      <c r="M6" s="8"/>
      <c r="N6" s="15"/>
      <c r="O6" s="15"/>
      <c r="P6" s="15"/>
    </row>
    <row r="7" spans="1:16" ht="16.5" customHeight="1" x14ac:dyDescent="0.25">
      <c r="A7" s="6" t="s">
        <v>6</v>
      </c>
      <c r="B7" s="6"/>
      <c r="C7" s="7"/>
      <c r="D7" s="8"/>
      <c r="E7" s="3"/>
      <c r="F7" s="3"/>
      <c r="G7" s="3"/>
      <c r="H7" s="3"/>
      <c r="I7" s="3"/>
      <c r="J7" s="10"/>
      <c r="K7" s="8"/>
      <c r="L7" s="24"/>
      <c r="M7" s="8"/>
      <c r="N7" s="15"/>
      <c r="O7" s="15"/>
      <c r="P7" s="15"/>
    </row>
    <row r="8" spans="1:16" ht="16.5" customHeight="1" x14ac:dyDescent="0.25">
      <c r="A8" s="6" t="s">
        <v>7</v>
      </c>
      <c r="B8" s="6"/>
      <c r="C8" s="7"/>
      <c r="D8" s="11"/>
      <c r="E8" s="11"/>
      <c r="F8" s="11"/>
      <c r="G8" s="11"/>
      <c r="H8" s="11"/>
      <c r="I8" s="25"/>
      <c r="J8" s="25"/>
      <c r="K8" s="25"/>
      <c r="L8" s="26"/>
      <c r="M8" s="24"/>
      <c r="N8" s="15"/>
      <c r="O8" s="15"/>
      <c r="P8" s="15"/>
    </row>
    <row r="9" spans="1:16" ht="16.5" customHeight="1" x14ac:dyDescent="0.25">
      <c r="A9" s="16" t="s">
        <v>8</v>
      </c>
      <c r="B9" s="6"/>
      <c r="C9" s="7"/>
      <c r="D9" s="11"/>
      <c r="E9" s="11"/>
      <c r="F9" s="11"/>
      <c r="G9" s="11"/>
      <c r="H9" s="11"/>
      <c r="I9" s="25"/>
      <c r="J9" s="25"/>
      <c r="K9" s="12"/>
      <c r="L9" s="26"/>
      <c r="M9" s="24"/>
      <c r="N9" s="15"/>
      <c r="O9" s="15"/>
      <c r="P9" s="15"/>
    </row>
    <row r="10" spans="1:16" ht="33" customHeight="1" x14ac:dyDescent="0.25">
      <c r="A10" s="22" t="s">
        <v>9</v>
      </c>
      <c r="B10" s="22" t="s">
        <v>10</v>
      </c>
      <c r="C10" s="22" t="s">
        <v>11</v>
      </c>
      <c r="D10" s="22" t="s">
        <v>12</v>
      </c>
      <c r="E10" s="22" t="s">
        <v>13</v>
      </c>
      <c r="F10" s="22" t="s">
        <v>14</v>
      </c>
      <c r="G10" s="22" t="s">
        <v>15</v>
      </c>
      <c r="H10" s="22" t="s">
        <v>16</v>
      </c>
      <c r="I10" s="22" t="s">
        <v>17</v>
      </c>
      <c r="J10" s="22" t="s">
        <v>18</v>
      </c>
      <c r="K10" s="22" t="s">
        <v>19</v>
      </c>
      <c r="L10" s="22" t="s">
        <v>20</v>
      </c>
      <c r="M10" s="23" t="s">
        <v>21</v>
      </c>
    </row>
    <row r="11" spans="1:16" ht="36" customHeight="1" x14ac:dyDescent="0.25">
      <c r="A11" s="41">
        <v>1</v>
      </c>
      <c r="B11" s="42" t="s">
        <v>35</v>
      </c>
      <c r="C11" s="43">
        <v>6573551</v>
      </c>
      <c r="D11" s="44" t="s">
        <v>22</v>
      </c>
      <c r="E11" s="44" t="s">
        <v>54</v>
      </c>
      <c r="F11" s="44" t="s">
        <v>54</v>
      </c>
      <c r="G11" s="44" t="s">
        <v>54</v>
      </c>
      <c r="H11" s="44" t="s">
        <v>23</v>
      </c>
      <c r="I11" s="44" t="s">
        <v>24</v>
      </c>
      <c r="J11" s="45">
        <v>45777</v>
      </c>
      <c r="K11" s="45">
        <v>46506</v>
      </c>
      <c r="L11" s="46" t="s">
        <v>25</v>
      </c>
      <c r="M11" s="47">
        <v>600000</v>
      </c>
    </row>
    <row r="12" spans="1:16" ht="27" customHeight="1" x14ac:dyDescent="0.25">
      <c r="A12" s="41">
        <v>2</v>
      </c>
      <c r="B12" s="51" t="s">
        <v>36</v>
      </c>
      <c r="C12" s="52">
        <v>6557977</v>
      </c>
      <c r="D12" s="48" t="s">
        <v>37</v>
      </c>
      <c r="E12" s="48" t="s">
        <v>54</v>
      </c>
      <c r="F12" s="48" t="s">
        <v>54</v>
      </c>
      <c r="G12" s="48" t="s">
        <v>54</v>
      </c>
      <c r="H12" s="49" t="s">
        <v>67</v>
      </c>
      <c r="I12" s="50" t="s">
        <v>55</v>
      </c>
      <c r="J12" s="45">
        <v>45781</v>
      </c>
      <c r="K12" s="45">
        <v>46510</v>
      </c>
      <c r="L12" s="46" t="s">
        <v>25</v>
      </c>
      <c r="M12" s="47">
        <v>600000</v>
      </c>
    </row>
    <row r="13" spans="1:16" ht="27" customHeight="1" x14ac:dyDescent="0.25">
      <c r="A13" s="41">
        <v>3</v>
      </c>
      <c r="B13" s="42" t="s">
        <v>38</v>
      </c>
      <c r="C13" s="43">
        <v>7955836</v>
      </c>
      <c r="D13" s="44" t="s">
        <v>39</v>
      </c>
      <c r="E13" s="44" t="s">
        <v>54</v>
      </c>
      <c r="F13" s="44" t="s">
        <v>54</v>
      </c>
      <c r="G13" s="44" t="s">
        <v>54</v>
      </c>
      <c r="H13" s="44" t="s">
        <v>68</v>
      </c>
      <c r="I13" s="41" t="s">
        <v>56</v>
      </c>
      <c r="J13" s="45">
        <v>45788</v>
      </c>
      <c r="K13" s="45">
        <v>46517</v>
      </c>
      <c r="L13" s="46" t="s">
        <v>25</v>
      </c>
      <c r="M13" s="47">
        <v>600000</v>
      </c>
    </row>
    <row r="14" spans="1:16" ht="27" customHeight="1" x14ac:dyDescent="0.25">
      <c r="A14" s="41">
        <v>4</v>
      </c>
      <c r="B14" s="42" t="s">
        <v>40</v>
      </c>
      <c r="C14" s="43">
        <v>25251479</v>
      </c>
      <c r="D14" s="44" t="s">
        <v>41</v>
      </c>
      <c r="E14" s="44" t="s">
        <v>54</v>
      </c>
      <c r="F14" s="44" t="s">
        <v>54</v>
      </c>
      <c r="G14" s="44" t="s">
        <v>54</v>
      </c>
      <c r="H14" s="44" t="s">
        <v>69</v>
      </c>
      <c r="I14" s="41" t="s">
        <v>57</v>
      </c>
      <c r="J14" s="45">
        <v>45802</v>
      </c>
      <c r="K14" s="45">
        <v>46531</v>
      </c>
      <c r="L14" s="46" t="s">
        <v>25</v>
      </c>
      <c r="M14" s="47">
        <v>600000</v>
      </c>
    </row>
    <row r="15" spans="1:16" ht="27" customHeight="1" x14ac:dyDescent="0.25">
      <c r="A15" s="41">
        <v>5</v>
      </c>
      <c r="B15" s="42" t="s">
        <v>42</v>
      </c>
      <c r="C15" s="43">
        <v>6566789</v>
      </c>
      <c r="D15" s="44" t="s">
        <v>43</v>
      </c>
      <c r="E15" s="44" t="s">
        <v>54</v>
      </c>
      <c r="F15" s="44" t="s">
        <v>54</v>
      </c>
      <c r="G15" s="44" t="s">
        <v>54</v>
      </c>
      <c r="H15" s="44" t="s">
        <v>70</v>
      </c>
      <c r="I15" s="41" t="s">
        <v>58</v>
      </c>
      <c r="J15" s="45">
        <v>45843</v>
      </c>
      <c r="K15" s="45">
        <v>46572</v>
      </c>
      <c r="L15" s="46" t="s">
        <v>25</v>
      </c>
      <c r="M15" s="47">
        <v>600000</v>
      </c>
    </row>
    <row r="16" spans="1:16" ht="27" customHeight="1" x14ac:dyDescent="0.25">
      <c r="A16" s="41">
        <v>6</v>
      </c>
      <c r="B16" s="42" t="s">
        <v>44</v>
      </c>
      <c r="C16" s="43">
        <v>6559783</v>
      </c>
      <c r="D16" s="44" t="s">
        <v>45</v>
      </c>
      <c r="E16" s="44" t="s">
        <v>54</v>
      </c>
      <c r="F16" s="44" t="s">
        <v>54</v>
      </c>
      <c r="G16" s="44"/>
      <c r="H16" s="44" t="s">
        <v>71</v>
      </c>
      <c r="I16" s="41" t="s">
        <v>59</v>
      </c>
      <c r="J16" s="45">
        <v>45829</v>
      </c>
      <c r="K16" s="45">
        <v>46558</v>
      </c>
      <c r="L16" s="46" t="s">
        <v>25</v>
      </c>
      <c r="M16" s="47">
        <v>600000</v>
      </c>
    </row>
    <row r="17" spans="1:13" ht="27" customHeight="1" x14ac:dyDescent="0.25">
      <c r="A17" s="41">
        <v>7</v>
      </c>
      <c r="B17" s="42" t="s">
        <v>46</v>
      </c>
      <c r="C17" s="43">
        <v>6570059</v>
      </c>
      <c r="D17" s="44" t="s">
        <v>47</v>
      </c>
      <c r="E17" s="44" t="s">
        <v>54</v>
      </c>
      <c r="F17" s="44" t="s">
        <v>54</v>
      </c>
      <c r="G17" s="44" t="s">
        <v>54</v>
      </c>
      <c r="H17" s="44" t="s">
        <v>72</v>
      </c>
      <c r="I17" s="41" t="s">
        <v>60</v>
      </c>
      <c r="J17" s="45">
        <v>45885</v>
      </c>
      <c r="K17" s="45">
        <v>46614</v>
      </c>
      <c r="L17" s="46" t="s">
        <v>25</v>
      </c>
      <c r="M17" s="47">
        <v>600000</v>
      </c>
    </row>
    <row r="18" spans="1:13" ht="27" customHeight="1" x14ac:dyDescent="0.25">
      <c r="A18" s="41">
        <v>8</v>
      </c>
      <c r="B18" s="42" t="s">
        <v>48</v>
      </c>
      <c r="C18" s="43">
        <v>6579027</v>
      </c>
      <c r="D18" s="44" t="s">
        <v>49</v>
      </c>
      <c r="E18" s="44" t="s">
        <v>54</v>
      </c>
      <c r="F18" s="44" t="s">
        <v>54</v>
      </c>
      <c r="G18" s="44" t="s">
        <v>54</v>
      </c>
      <c r="H18" s="44" t="s">
        <v>61</v>
      </c>
      <c r="I18" s="41" t="s">
        <v>62</v>
      </c>
      <c r="J18" s="45">
        <v>45878</v>
      </c>
      <c r="K18" s="45">
        <v>46607</v>
      </c>
      <c r="L18" s="46" t="s">
        <v>25</v>
      </c>
      <c r="M18" s="47">
        <v>600000</v>
      </c>
    </row>
    <row r="19" spans="1:13" ht="27" customHeight="1" x14ac:dyDescent="0.25">
      <c r="A19" s="41">
        <v>9</v>
      </c>
      <c r="B19" s="42" t="s">
        <v>50</v>
      </c>
      <c r="C19" s="43">
        <v>6573678</v>
      </c>
      <c r="D19" s="44" t="s">
        <v>51</v>
      </c>
      <c r="E19" s="44" t="s">
        <v>54</v>
      </c>
      <c r="F19" s="44" t="s">
        <v>54</v>
      </c>
      <c r="G19" s="44"/>
      <c r="H19" s="44" t="s">
        <v>63</v>
      </c>
      <c r="I19" s="41" t="s">
        <v>64</v>
      </c>
      <c r="J19" s="45">
        <v>45861</v>
      </c>
      <c r="K19" s="45">
        <v>46590</v>
      </c>
      <c r="L19" s="46" t="s">
        <v>25</v>
      </c>
      <c r="M19" s="47">
        <v>600000</v>
      </c>
    </row>
    <row r="20" spans="1:13" ht="27" customHeight="1" x14ac:dyDescent="0.25">
      <c r="A20" s="41">
        <v>10</v>
      </c>
      <c r="B20" s="42" t="s">
        <v>52</v>
      </c>
      <c r="C20" s="43">
        <v>6568169</v>
      </c>
      <c r="D20" s="44" t="s">
        <v>53</v>
      </c>
      <c r="E20" s="44" t="s">
        <v>54</v>
      </c>
      <c r="F20" s="44" t="s">
        <v>54</v>
      </c>
      <c r="G20" s="44"/>
      <c r="H20" s="44" t="s">
        <v>65</v>
      </c>
      <c r="I20" s="41" t="s">
        <v>66</v>
      </c>
      <c r="J20" s="45">
        <v>45808</v>
      </c>
      <c r="K20" s="45">
        <v>46537</v>
      </c>
      <c r="L20" s="46" t="s">
        <v>25</v>
      </c>
      <c r="M20" s="47">
        <v>600000</v>
      </c>
    </row>
    <row r="21" spans="1:13" ht="27" customHeight="1" x14ac:dyDescent="0.25">
      <c r="A21" s="29" t="s">
        <v>26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27">
        <f>SUM(M11:M20)</f>
        <v>6000000</v>
      </c>
    </row>
    <row r="22" spans="1:13" ht="27" customHeight="1" x14ac:dyDescent="0.25">
      <c r="A22" s="29" t="s">
        <v>27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1"/>
      <c r="M22" s="27">
        <f>M21*8%</f>
        <v>480000</v>
      </c>
    </row>
    <row r="23" spans="1:13" ht="27" customHeight="1" x14ac:dyDescent="0.25">
      <c r="A23" s="38" t="s">
        <v>28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1"/>
      <c r="M23" s="28">
        <f>SUM(M21:M22)</f>
        <v>6480000</v>
      </c>
    </row>
    <row r="24" spans="1:13" ht="27" customHeight="1" x14ac:dyDescent="0.25">
      <c r="A24" s="37" t="s">
        <v>73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</row>
    <row r="25" spans="1:13" ht="16.5" customHeight="1" x14ac:dyDescent="0.25">
      <c r="A25" s="32" t="s">
        <v>29</v>
      </c>
      <c r="B25" s="33"/>
      <c r="C25" s="33"/>
      <c r="D25" s="33"/>
      <c r="E25" s="33"/>
      <c r="F25" s="3"/>
      <c r="G25" s="3"/>
      <c r="H25" s="4"/>
      <c r="I25" s="17"/>
      <c r="J25" s="39" t="s">
        <v>30</v>
      </c>
      <c r="K25" s="40"/>
      <c r="L25" s="40"/>
      <c r="M25" s="40"/>
    </row>
    <row r="26" spans="1:13" ht="16.5" customHeight="1" x14ac:dyDescent="0.25">
      <c r="A26" s="32" t="s">
        <v>31</v>
      </c>
      <c r="B26" s="33"/>
      <c r="C26" s="33"/>
      <c r="D26" s="33"/>
      <c r="E26" s="33"/>
      <c r="F26" s="3"/>
      <c r="G26" s="3"/>
      <c r="H26" s="4"/>
      <c r="I26" s="3"/>
      <c r="J26" s="32" t="s">
        <v>32</v>
      </c>
      <c r="K26" s="33"/>
      <c r="L26" s="33"/>
      <c r="M26" s="33"/>
    </row>
    <row r="27" spans="1:13" ht="16.5" customHeight="1" x14ac:dyDescent="0.25">
      <c r="A27" s="11"/>
      <c r="B27" s="11"/>
      <c r="C27" s="11"/>
      <c r="D27" s="11"/>
      <c r="E27" s="11"/>
      <c r="F27" s="11"/>
      <c r="G27" s="11"/>
      <c r="H27" s="11"/>
      <c r="I27" s="3"/>
      <c r="J27" s="3"/>
      <c r="K27" s="3"/>
      <c r="L27" s="18"/>
      <c r="M27" s="11"/>
    </row>
    <row r="28" spans="1:13" ht="16.5" customHeight="1" x14ac:dyDescent="0.25">
      <c r="A28" s="3"/>
      <c r="B28" s="3"/>
      <c r="C28" s="2"/>
      <c r="D28" s="4"/>
      <c r="E28" s="19"/>
      <c r="F28" s="19"/>
      <c r="G28" s="19"/>
      <c r="H28" s="4"/>
      <c r="I28" s="4"/>
      <c r="J28" s="4"/>
      <c r="K28" s="4"/>
      <c r="L28" s="18"/>
      <c r="M28" s="17"/>
    </row>
    <row r="29" spans="1:13" ht="16.5" customHeight="1" x14ac:dyDescent="0.25">
      <c r="A29" s="3"/>
      <c r="B29" s="3"/>
      <c r="C29" s="2"/>
      <c r="D29" s="4"/>
      <c r="E29" s="19"/>
      <c r="F29" s="19"/>
      <c r="G29" s="19"/>
      <c r="H29" s="4"/>
      <c r="I29" s="4"/>
      <c r="J29" s="4"/>
      <c r="K29" s="4"/>
      <c r="L29" s="18"/>
      <c r="M29" s="17"/>
    </row>
    <row r="30" spans="1:13" ht="17.25" customHeight="1" x14ac:dyDescent="0.25">
      <c r="A30" s="3"/>
      <c r="B30" s="3"/>
      <c r="C30" s="2"/>
      <c r="D30" s="4"/>
      <c r="E30" s="19"/>
      <c r="F30" s="19"/>
      <c r="G30" s="19"/>
      <c r="H30" s="4"/>
      <c r="I30" s="4"/>
      <c r="J30" s="4"/>
      <c r="K30" s="20"/>
      <c r="L30" s="20"/>
      <c r="M30" s="21"/>
    </row>
    <row r="31" spans="1:13" ht="16.5" customHeight="1" x14ac:dyDescent="0.25">
      <c r="A31" s="3"/>
      <c r="B31" s="3"/>
      <c r="C31" s="2"/>
      <c r="D31" s="4"/>
      <c r="E31" s="19"/>
      <c r="F31" s="19"/>
      <c r="G31" s="19"/>
      <c r="H31" s="4"/>
      <c r="I31" s="4"/>
      <c r="J31" s="4"/>
      <c r="K31" s="4"/>
      <c r="L31" s="18"/>
      <c r="M31" s="17"/>
    </row>
    <row r="32" spans="1:13" ht="16.5" customHeight="1" x14ac:dyDescent="0.25">
      <c r="A32" s="32" t="s">
        <v>33</v>
      </c>
      <c r="B32" s="33"/>
      <c r="C32" s="33"/>
      <c r="D32" s="33"/>
      <c r="E32" s="33"/>
      <c r="F32" s="3"/>
      <c r="G32" s="3"/>
      <c r="H32" s="4"/>
      <c r="I32" s="4"/>
      <c r="J32" s="35" t="s">
        <v>34</v>
      </c>
      <c r="K32" s="33"/>
      <c r="L32" s="33"/>
      <c r="M32" s="33"/>
    </row>
  </sheetData>
  <mergeCells count="14">
    <mergeCell ref="A22:L22"/>
    <mergeCell ref="A21:L21"/>
    <mergeCell ref="A32:E32"/>
    <mergeCell ref="A1:M1"/>
    <mergeCell ref="A26:E26"/>
    <mergeCell ref="J32:M32"/>
    <mergeCell ref="A25:E25"/>
    <mergeCell ref="J26:M26"/>
    <mergeCell ref="A4:M4"/>
    <mergeCell ref="A3:M3"/>
    <mergeCell ref="A24:M24"/>
    <mergeCell ref="A23:L23"/>
    <mergeCell ref="A2:M2"/>
    <mergeCell ref="J25:M25"/>
  </mergeCells>
  <pageMargins left="0.19" right="0.14000000000000001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Quang Bình</dc:creator>
  <cp:lastModifiedBy>Steve Dao</cp:lastModifiedBy>
  <cp:lastPrinted>2025-12-24T09:11:43Z</cp:lastPrinted>
  <dcterms:created xsi:type="dcterms:W3CDTF">2025-11-04T09:28:10Z</dcterms:created>
  <dcterms:modified xsi:type="dcterms:W3CDTF">2025-12-25T03:51:20Z</dcterms:modified>
</cp:coreProperties>
</file>